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0" customWidth="1" min="4" max="4"/>
    <col width="11" customWidth="1" min="5" max="5"/>
    <col width="10" customWidth="1" min="6" max="6"/>
    <col width="9" customWidth="1" min="7" max="7"/>
    <col width="9" customWidth="1" min="8" max="8"/>
    <col width="9" customWidth="1" min="9" max="9"/>
    <col width="12" customWidth="1" min="10" max="10"/>
    <col width="16" customWidth="1" min="11" max="11"/>
    <col width="68" customWidth="1" min="12" max="12"/>
  </cols>
  <sheetData>
    <row r="1">
      <c r="A1" s="1" t="inlineStr">
        <is>
          <t>FMB pegs, size M, length 150 mm</t>
        </is>
      </c>
    </row>
    <row r="2">
      <c r="A2" s="2" t="inlineStr">
        <is>
          <t>Measured from the STL files in this folder by make_index.py. index.csv has the same measurements (rounded) plus units, scale_to_mm, source, changes and license, which are in the Summary notes here.</t>
        </is>
      </c>
    </row>
    <row r="4">
      <c r="A4" s="3" t="inlineStr">
        <is>
          <t>file</t>
        </is>
      </c>
      <c r="B4" s="3" t="inlineStr">
        <is>
          <t>shape</t>
        </is>
      </c>
      <c r="C4" s="3" t="inlineStr">
        <is>
          <t>size_bytes</t>
        </is>
      </c>
      <c r="D4" s="3" t="inlineStr">
        <is>
          <t>size_MB</t>
        </is>
      </c>
      <c r="E4" s="3" t="inlineStr">
        <is>
          <t>stl_format</t>
        </is>
      </c>
      <c r="F4" s="3" t="inlineStr">
        <is>
          <t>triangles</t>
        </is>
      </c>
      <c r="G4" s="3" t="inlineStr">
        <is>
          <t>x_mm</t>
        </is>
      </c>
      <c r="H4" s="3" t="inlineStr">
        <is>
          <t>y_mm</t>
        </is>
      </c>
      <c r="I4" s="3" t="inlineStr">
        <is>
          <t>z_mm</t>
        </is>
      </c>
      <c r="J4" s="3" t="inlineStr">
        <is>
          <t>volume_cm3</t>
        </is>
      </c>
      <c r="K4" s="3" t="inlineStr">
        <is>
          <t>watertight</t>
        </is>
      </c>
      <c r="L4" s="3" t="inlineStr">
        <is>
          <t>sha256</t>
        </is>
      </c>
    </row>
    <row r="5">
      <c r="A5" s="2" t="inlineStr">
        <is>
          <t>peg_arch_M_150mm.stl</t>
        </is>
      </c>
      <c r="B5" s="2" t="inlineStr">
        <is>
          <t>arch</t>
        </is>
      </c>
      <c r="C5" s="4" t="n">
        <v>96684</v>
      </c>
      <c r="D5" s="5">
        <f>C5/1000000</f>
        <v>0.096684</v>
      </c>
      <c r="E5" s="2" t="inlineStr">
        <is>
          <t>binary</t>
        </is>
      </c>
      <c r="F5" s="4" t="n">
        <v>1932</v>
      </c>
      <c r="G5" s="6" t="n">
        <v>48</v>
      </c>
      <c r="H5" s="6" t="n">
        <v>28.79999542236328</v>
      </c>
      <c r="I5" s="6" t="n">
        <v>150</v>
      </c>
      <c r="J5" s="7" t="n">
        <v>150.2945201516733</v>
      </c>
      <c r="K5" s="2" t="b">
        <v>1</v>
      </c>
      <c r="L5" s="2" t="inlineStr">
        <is>
          <t>356414eed62620ed0576f65938d6103c73f98a8f0c58055adee88ee360124bae</t>
        </is>
      </c>
    </row>
    <row r="6">
      <c r="A6" s="2" t="inlineStr">
        <is>
          <t>peg_circle_M_150mm.stl</t>
        </is>
      </c>
      <c r="B6" s="2" t="inlineStr">
        <is>
          <t>circle</t>
        </is>
      </c>
      <c r="C6" s="4" t="n">
        <v>50284</v>
      </c>
      <c r="D6" s="5">
        <f>C6/1000000</f>
        <v>0.050284</v>
      </c>
      <c r="E6" s="2" t="inlineStr">
        <is>
          <t>binary</t>
        </is>
      </c>
      <c r="F6" s="4" t="n">
        <v>1004</v>
      </c>
      <c r="G6" s="6" t="n">
        <v>40.31997680664062</v>
      </c>
      <c r="H6" s="6" t="n">
        <v>40.31999969482422</v>
      </c>
      <c r="I6" s="6" t="n">
        <v>150</v>
      </c>
      <c r="J6" s="7" t="n">
        <v>191.5036946361564</v>
      </c>
      <c r="K6" s="2" t="b">
        <v>1</v>
      </c>
      <c r="L6" s="2" t="inlineStr">
        <is>
          <t>73b154b575860f7094ee534145bc112b60533f967a92f8ebb3fa229e2546a55e</t>
        </is>
      </c>
    </row>
    <row r="7">
      <c r="A7" s="2" t="inlineStr">
        <is>
          <t>peg_double_square_M_150mm.stl</t>
        </is>
      </c>
      <c r="B7" s="2" t="inlineStr">
        <is>
          <t>double_square</t>
        </is>
      </c>
      <c r="C7" s="4" t="n">
        <v>102284</v>
      </c>
      <c r="D7" s="5">
        <f>C7/1000000</f>
        <v>0.102284</v>
      </c>
      <c r="E7" s="2" t="inlineStr">
        <is>
          <t>binary</t>
        </is>
      </c>
      <c r="F7" s="4" t="n">
        <v>2044</v>
      </c>
      <c r="G7" s="6" t="n">
        <v>53.00189208984375</v>
      </c>
      <c r="H7" s="6" t="n">
        <v>20.38533782958984</v>
      </c>
      <c r="I7" s="6" t="n">
        <v>150</v>
      </c>
      <c r="J7" s="7" t="n">
        <v>142.2127081230414</v>
      </c>
      <c r="K7" s="2" t="b">
        <v>1</v>
      </c>
      <c r="L7" s="2" t="inlineStr">
        <is>
          <t>0971753d95f52c3600dbe33fbd44a8f834015dd6d349983787b3af02374b0fb8</t>
        </is>
      </c>
    </row>
    <row r="8">
      <c r="A8" s="2" t="inlineStr">
        <is>
          <t>peg_ellipse_M_150mm.stl</t>
        </is>
      </c>
      <c r="B8" s="2" t="inlineStr">
        <is>
          <t>ellipse</t>
        </is>
      </c>
      <c r="C8" s="4" t="n">
        <v>66284</v>
      </c>
      <c r="D8" s="5">
        <f>C8/1000000</f>
        <v>0.066284</v>
      </c>
      <c r="E8" s="2" t="inlineStr">
        <is>
          <t>binary</t>
        </is>
      </c>
      <c r="F8" s="4" t="n">
        <v>1324</v>
      </c>
      <c r="G8" s="6" t="n">
        <v>43.19989013671875</v>
      </c>
      <c r="H8" s="6" t="n">
        <v>28.79920959472656</v>
      </c>
      <c r="I8" s="6" t="n">
        <v>150</v>
      </c>
      <c r="J8" s="7" t="n">
        <v>146.5643927405588</v>
      </c>
      <c r="K8" s="2" t="b">
        <v>1</v>
      </c>
      <c r="L8" s="2" t="inlineStr">
        <is>
          <t>fc9e6bbefa53817214ea440a3b8a1cb8bfca0dc51ff69ad9dfc9685abb24f3b8</t>
        </is>
      </c>
    </row>
    <row r="9">
      <c r="A9" s="2" t="inlineStr">
        <is>
          <t>peg_hexagon_M_150mm.stl</t>
        </is>
      </c>
      <c r="B9" s="2" t="inlineStr">
        <is>
          <t>hexagon</t>
        </is>
      </c>
      <c r="C9" s="4" t="n">
        <v>51484</v>
      </c>
      <c r="D9" s="5">
        <f>C9/1000000</f>
        <v>0.051484</v>
      </c>
      <c r="E9" s="2" t="inlineStr">
        <is>
          <t>binary</t>
        </is>
      </c>
      <c r="F9" s="4" t="n">
        <v>1028</v>
      </c>
      <c r="G9" s="6" t="n">
        <v>36.5809326171875</v>
      </c>
      <c r="H9" s="6" t="n">
        <v>41.34892272949219</v>
      </c>
      <c r="I9" s="6" t="n">
        <v>150</v>
      </c>
      <c r="J9" s="7" t="n">
        <v>173.4309555758955</v>
      </c>
      <c r="K9" s="2" t="b">
        <v>1</v>
      </c>
      <c r="L9" s="2" t="inlineStr">
        <is>
          <t>98d141f3666dc5548d7bfab7e383c4a75d7c188fad4bc267ae3599c34bdb4b5f</t>
        </is>
      </c>
    </row>
    <row r="10">
      <c r="A10" s="2" t="inlineStr">
        <is>
          <t>peg_rectangle_M_150mm.stl</t>
        </is>
      </c>
      <c r="B10" s="2" t="inlineStr">
        <is>
          <t>rectangle</t>
        </is>
      </c>
      <c r="C10" s="4" t="n">
        <v>51084</v>
      </c>
      <c r="D10" s="5">
        <f>C10/1000000</f>
        <v>0.051084</v>
      </c>
      <c r="E10" s="2" t="inlineStr">
        <is>
          <t>binary</t>
        </is>
      </c>
      <c r="F10" s="4" t="n">
        <v>1020</v>
      </c>
      <c r="G10" s="6" t="n">
        <v>40.32000732421875</v>
      </c>
      <c r="H10" s="6" t="n">
        <v>25.92000579833984</v>
      </c>
      <c r="I10" s="6" t="n">
        <v>150</v>
      </c>
      <c r="J10" s="7" t="n">
        <v>155.6958128524711</v>
      </c>
      <c r="K10" s="2" t="b">
        <v>1</v>
      </c>
      <c r="L10" s="2" t="inlineStr">
        <is>
          <t>f9baf06ae2aa28748dbccc68564021042ef96e2df30e82cd7e5d97b356623874</t>
        </is>
      </c>
    </row>
    <row r="11">
      <c r="A11" s="2" t="inlineStr">
        <is>
          <t>peg_square_round_M_150mm.stl</t>
        </is>
      </c>
      <c r="B11" s="2" t="inlineStr">
        <is>
          <t>square_round</t>
        </is>
      </c>
      <c r="C11" s="4" t="n">
        <v>101684</v>
      </c>
      <c r="D11" s="5">
        <f>C11/1000000</f>
        <v>0.101684</v>
      </c>
      <c r="E11" s="2" t="inlineStr">
        <is>
          <t>binary</t>
        </is>
      </c>
      <c r="F11" s="4" t="n">
        <v>2032</v>
      </c>
      <c r="G11" s="6" t="n">
        <v>52.79998779296875</v>
      </c>
      <c r="H11" s="6" t="n">
        <v>19.80001068115234</v>
      </c>
      <c r="I11" s="6" t="n">
        <v>150</v>
      </c>
      <c r="J11" s="7" t="n">
        <v>126.2305741329241</v>
      </c>
      <c r="K11" s="2" t="b">
        <v>1</v>
      </c>
      <c r="L11" s="2" t="inlineStr">
        <is>
          <t>8f571bf08a1a6c3227cc142fb493cf4b334c3b92146c9d4ed2e5264e37fcf50f</t>
        </is>
      </c>
    </row>
    <row r="12">
      <c r="A12" s="2" t="inlineStr">
        <is>
          <t>peg_star_M_150mm.stl</t>
        </is>
      </c>
      <c r="B12" s="2" t="inlineStr">
        <is>
          <t>star</t>
        </is>
      </c>
      <c r="C12" s="4" t="n">
        <v>102884</v>
      </c>
      <c r="D12" s="5">
        <f>C12/1000000</f>
        <v>0.102884</v>
      </c>
      <c r="E12" s="2" t="inlineStr">
        <is>
          <t>binary</t>
        </is>
      </c>
      <c r="F12" s="4" t="n">
        <v>2056</v>
      </c>
      <c r="G12" s="6" t="n">
        <v>43.95175170898438</v>
      </c>
      <c r="H12" s="6" t="n">
        <v>42.082275390625</v>
      </c>
      <c r="I12" s="6" t="n">
        <v>150</v>
      </c>
      <c r="J12" s="7" t="n">
        <v>134.2015609002323</v>
      </c>
      <c r="K12" s="2" t="b">
        <v>1</v>
      </c>
      <c r="L12" s="2" t="inlineStr">
        <is>
          <t>095f06b95f64337f83cb12a974f85f51ab0ed4680db3501a33c446907f718e1f</t>
        </is>
      </c>
    </row>
    <row r="13">
      <c r="A13" s="2" t="inlineStr">
        <is>
          <t>peg_three_prong_M_150mm.stl</t>
        </is>
      </c>
      <c r="B13" s="2" t="inlineStr">
        <is>
          <t>three_prong</t>
        </is>
      </c>
      <c r="C13" s="4" t="n">
        <v>304884</v>
      </c>
      <c r="D13" s="5">
        <f>C13/1000000</f>
        <v>0.304884</v>
      </c>
      <c r="E13" s="2" t="inlineStr">
        <is>
          <t>binary</t>
        </is>
      </c>
      <c r="F13" s="4" t="n">
        <v>6096</v>
      </c>
      <c r="G13" s="6" t="n">
        <v>52.79998779296875</v>
      </c>
      <c r="H13" s="6" t="n">
        <v>49.26306915283203</v>
      </c>
      <c r="I13" s="6" t="n">
        <v>150</v>
      </c>
      <c r="J13" s="7" t="n">
        <v>151.2762522948021</v>
      </c>
      <c r="K13" s="2" t="b">
        <v>1</v>
      </c>
      <c r="L13" s="2" t="inlineStr">
        <is>
          <t>af83d8e0f5d8269afaa408f4a5ab448f07c9633ffbdc7a8e20ba3eacaf324096</t>
        </is>
      </c>
    </row>
    <row r="14">
      <c r="A14" s="8" t="inlineStr">
        <is>
          <t>Total</t>
        </is>
      </c>
      <c r="C14" s="9">
        <f>SUM(C5:C13)</f>
        <v>927556</v>
      </c>
      <c r="D14" s="10">
        <f>C14/1000000</f>
        <v>0.927556</v>
      </c>
      <c r="F14" s="9">
        <f>SUM(F5:F13)</f>
        <v>18536</v>
      </c>
      <c r="J14" s="11">
        <f>SUM(J5:J13)</f>
        <v>1371.410471407755</v>
      </c>
      <c r="K14" s="2" t="inlineStr">
        <is>
          <t>(watertight parts)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</cols>
  <sheetData>
    <row r="1">
      <c r="A1" s="1" t="inlineStr">
        <is>
          <t>Summary: FMB pegs, size M, length 150 mm</t>
        </is>
      </c>
    </row>
    <row r="3">
      <c r="A3" s="3" t="inlineStr">
        <is>
          <t>statistic</t>
        </is>
      </c>
      <c r="B3" s="3" t="inlineStr">
        <is>
          <t>value</t>
        </is>
      </c>
      <c r="C3" s="3" t="inlineStr">
        <is>
          <t>unit</t>
        </is>
      </c>
    </row>
    <row r="4">
      <c r="A4" s="2" t="inlineStr">
        <is>
          <t>files</t>
        </is>
      </c>
      <c r="B4" s="12">
        <f>COUNTA(Files!A5:A13)</f>
        <v>9</v>
      </c>
      <c r="C4" s="2" t="inlineStr"/>
    </row>
    <row r="5">
      <c r="A5" s="2" t="inlineStr">
        <is>
          <t>watertight files</t>
        </is>
      </c>
      <c r="B5" s="12">
        <f>COUNTIF(Files!K5:K13,TRUE)</f>
        <v>9</v>
      </c>
      <c r="C5" s="2" t="inlineStr"/>
    </row>
    <row r="6">
      <c r="A6" s="2" t="inlineStr">
        <is>
          <t>total size</t>
        </is>
      </c>
      <c r="B6" s="13">
        <f>SUM(Files!C5:C13)</f>
        <v>927556</v>
      </c>
      <c r="C6" s="2" t="inlineStr">
        <is>
          <t>bytes</t>
        </is>
      </c>
    </row>
    <row r="7">
      <c r="A7" s="2" t="inlineStr">
        <is>
          <t>total size</t>
        </is>
      </c>
      <c r="B7" s="14">
        <f>SUM(Files!C5:C13)/1000000</f>
        <v>0.927556</v>
      </c>
      <c r="C7" s="2" t="inlineStr">
        <is>
          <t>MB (1e6 bytes)</t>
        </is>
      </c>
    </row>
    <row r="8">
      <c r="A8" s="2" t="inlineStr">
        <is>
          <t>total triangles</t>
        </is>
      </c>
      <c r="B8" s="13">
        <f>SUM(Files!F5:F13)</f>
        <v>18536</v>
      </c>
      <c r="C8" s="2" t="inlineStr"/>
    </row>
    <row r="9">
      <c r="A9" s="2" t="inlineStr">
        <is>
          <t>total volume (watertight parts)</t>
        </is>
      </c>
      <c r="B9" s="15">
        <f>SUM(Files!J5:J13)</f>
        <v>1371.410471407755</v>
      </c>
      <c r="C9" s="2" t="inlineStr">
        <is>
          <t>cm3</t>
        </is>
      </c>
    </row>
    <row r="10">
      <c r="A10" s="2" t="inlineStr">
        <is>
          <t>mean volume (watertight parts)</t>
        </is>
      </c>
      <c r="B10" s="15">
        <f>AVERAGE(Files!J5:J13)</f>
        <v>152.37894126752835</v>
      </c>
      <c r="C10" s="2" t="inlineStr">
        <is>
          <t>cm3</t>
        </is>
      </c>
    </row>
    <row r="11">
      <c r="A11" s="2" t="inlineStr">
        <is>
          <t>min volume (watertight parts)</t>
        </is>
      </c>
      <c r="B11" s="15">
        <f>MIN(Files!J5:J13)</f>
        <v>126.2305741329241</v>
      </c>
      <c r="C11" s="2" t="inlineStr">
        <is>
          <t>cm3</t>
        </is>
      </c>
    </row>
    <row r="12">
      <c r="A12" s="2" t="inlineStr">
        <is>
          <t>max volume (watertight parts)</t>
        </is>
      </c>
      <c r="B12" s="15">
        <f>MAX(Files!J5:J13)</f>
        <v>191.5036946361564</v>
      </c>
      <c r="C12" s="2" t="inlineStr">
        <is>
          <t>cm3</t>
        </is>
      </c>
    </row>
    <row r="13">
      <c r="A13" s="2" t="inlineStr">
        <is>
          <t>largest volume part</t>
        </is>
      </c>
      <c r="B13" s="16" t="str">
        <f>INDEX(Files!A5:A13,MATCH(MAX(Files!J5:J13),Files!J5:J13,0))</f>
        <v>peg_circle_M_150mm.stl</v>
      </c>
      <c r="C13" s="2" t="inlineStr"/>
    </row>
    <row r="14">
      <c r="A14" s="2" t="inlineStr">
        <is>
          <t>largest file</t>
        </is>
      </c>
      <c r="B14" s="16" t="str">
        <f>INDEX(Files!A5:A13,MATCH(MAX(Files!C5:C13),Files!C5:C13,0))</f>
        <v>peg_three_prong_M_150mm.stl</v>
      </c>
      <c r="C14" s="2" t="inlineStr"/>
    </row>
    <row r="15">
      <c r="A15" s="2" t="inlineStr">
        <is>
          <t>max x (footprint)</t>
        </is>
      </c>
      <c r="B15" s="17">
        <f>MAX(Files!G5:G13)</f>
        <v>53.00189208984375</v>
      </c>
      <c r="C15" s="2" t="inlineStr">
        <is>
          <t>mm</t>
        </is>
      </c>
    </row>
    <row r="16">
      <c r="A16" s="2" t="inlineStr">
        <is>
          <t>max y (footprint)</t>
        </is>
      </c>
      <c r="B16" s="17">
        <f>MAX(Files!H5:H13)</f>
        <v>49.26306915283203</v>
      </c>
      <c r="C16" s="2" t="inlineStr">
        <is>
          <t>mm</t>
        </is>
      </c>
    </row>
    <row r="17">
      <c r="A17" s="2" t="inlineStr">
        <is>
          <t>min z (height)</t>
        </is>
      </c>
      <c r="B17" s="17">
        <f>MIN(Files!I5:I13)</f>
        <v>150.0</v>
      </c>
      <c r="C17" s="2" t="inlineStr">
        <is>
          <t>mm</t>
        </is>
      </c>
    </row>
    <row r="18">
      <c r="A18" s="2" t="inlineStr">
        <is>
          <t>max z (height)</t>
        </is>
      </c>
      <c r="B18" s="17">
        <f>MAX(Files!I5:I13)</f>
        <v>150.0</v>
      </c>
      <c r="C18" s="2" t="inlineStr">
        <is>
          <t>mm</t>
        </is>
      </c>
    </row>
    <row r="20">
      <c r="A20" s="8" t="inlineStr">
        <is>
          <t>Notes</t>
        </is>
      </c>
    </row>
    <row r="21">
      <c r="A21" s="2" t="inlineStr">
        <is>
          <t>units</t>
        </is>
      </c>
      <c r="B21" s="2" t="inlineStr">
        <is>
          <t>mm (STL coordinates, scale_to_mm = 1); x/y/z = axis-aligned bounding box in the file's own orientation</t>
        </is>
      </c>
    </row>
    <row r="22">
      <c r="A22" s="2" t="inlineStr">
        <is>
          <t>volume_cm3</t>
        </is>
      </c>
      <c r="B22" s="2" t="inlineStr">
        <is>
          <t>enclosed solid volume of the mesh, blank if not watertight; printed mass also depends on infill and walls</t>
        </is>
      </c>
    </row>
    <row r="23">
      <c r="A23" s="2" t="inlineStr">
        <is>
          <t>size_MB</t>
        </is>
      </c>
      <c r="B23" s="2" t="inlineStr">
        <is>
          <t>size_bytes / 1e6 (decimal MB, not MiB)</t>
        </is>
      </c>
    </row>
    <row r="24">
      <c r="A24" s="2" t="inlineStr">
        <is>
          <t>sha256</t>
        </is>
      </c>
      <c r="B24" s="2" t="inlineStr">
        <is>
          <t>SHA-256 of the file bytes</t>
        </is>
      </c>
    </row>
    <row r="25">
      <c r="A25" s="2" t="inlineStr">
        <is>
          <t>source</t>
        </is>
      </c>
      <c r="B25" s="2" t="inlineStr">
        <is>
          <t>FMB (Luo et al.), peg.step, listed at https://functional-manipulation-benchmark.github.io/files/</t>
        </is>
      </c>
    </row>
    <row r="26">
      <c r="A26" s="2" t="inlineStr">
        <is>
          <t>changes</t>
        </is>
      </c>
      <c r="B26" s="2" t="inlineStr">
        <is>
          <t>STEP solid tessellated to STL (linear deflection 0.01 relative to edge size, angular 0.05 rad); translated so XY bbox centre = origin and min z = 0; not rotated</t>
        </is>
      </c>
    </row>
    <row r="27">
      <c r="A27" s="2" t="inlineStr">
        <is>
          <t>license</t>
        </is>
      </c>
      <c r="B27" s="2" t="inlineStr">
        <is>
          <t>CC BY 4.0, https://creativecommons.org/licenses/by/4.0/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make_index.py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